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nstill/Desktop/Programming/VSA CRM/"/>
    </mc:Choice>
  </mc:AlternateContent>
  <xr:revisionPtr revIDLastSave="0" documentId="8_{27C33F0F-0CD6-994F-8CB6-B45C95AB67A9}" xr6:coauthVersionLast="47" xr6:coauthVersionMax="47" xr10:uidLastSave="{00000000-0000-0000-0000-000000000000}"/>
  <bookViews>
    <workbookView xWindow="0" yWindow="600" windowWidth="38400" windowHeight="21000" activeTab="1" xr2:uid="{B5B33E07-AD5F-45D2-9E66-CB869C09A3E4}"/>
  </bookViews>
  <sheets>
    <sheet name="Claude Log" sheetId="3" r:id="rId1"/>
    <sheet name="Summary" sheetId="1" r:id="rId2"/>
    <sheet name="Dashboar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26" i="1"/>
</calcChain>
</file>

<file path=xl/sharedStrings.xml><?xml version="1.0" encoding="utf-8"?>
<sst xmlns="http://schemas.openxmlformats.org/spreadsheetml/2006/main" count="293" uniqueCount="194">
  <si>
    <t>-</t>
  </si>
  <si>
    <t>Category</t>
  </si>
  <si>
    <t>Speciality</t>
  </si>
  <si>
    <t>Location</t>
  </si>
  <si>
    <t>Est. Rev</t>
  </si>
  <si>
    <t>Yes</t>
  </si>
  <si>
    <t>AeroTwin, Inc</t>
  </si>
  <si>
    <t>Steve's Aircraft</t>
  </si>
  <si>
    <t>Ralmark Company</t>
  </si>
  <si>
    <t>Aero-Classics</t>
  </si>
  <si>
    <t>Sporty</t>
  </si>
  <si>
    <t>Univair</t>
  </si>
  <si>
    <t>Plastics</t>
  </si>
  <si>
    <t>Distributor</t>
  </si>
  <si>
    <t>Distributor/PMA Mfg.</t>
  </si>
  <si>
    <t>PMA/STC Mfg.</t>
  </si>
  <si>
    <t>Cessna Modifications</t>
  </si>
  <si>
    <t>General</t>
  </si>
  <si>
    <t>Fuel Strainers / Gascolators</t>
  </si>
  <si>
    <t>White City, OR</t>
  </si>
  <si>
    <t>Pulleys</t>
  </si>
  <si>
    <t>Kingston, PA</t>
  </si>
  <si>
    <t>Heat Transfer Products</t>
  </si>
  <si>
    <t>La Verne, CA</t>
  </si>
  <si>
    <t>Aircraft Supplies</t>
  </si>
  <si>
    <t>Batavia, OH</t>
  </si>
  <si>
    <t>Anchorage, AK</t>
  </si>
  <si>
    <t>Under NDA</t>
  </si>
  <si>
    <t>$5M - $7M</t>
  </si>
  <si>
    <t>$2M - $3M</t>
  </si>
  <si>
    <t>On the Horizon</t>
  </si>
  <si>
    <t>Aurora, CO</t>
  </si>
  <si>
    <t>Aviation Enterprise LLC</t>
  </si>
  <si>
    <t>Knots 2U</t>
  </si>
  <si>
    <t>Rapco</t>
  </si>
  <si>
    <t>Weldon Pump</t>
  </si>
  <si>
    <t>Jet Parts &amp; Components</t>
  </si>
  <si>
    <t>Newnan, GA</t>
  </si>
  <si>
    <t>Burlington, WI</t>
  </si>
  <si>
    <t>Brakes, Pumps, Valves &amp; Pneumatics</t>
  </si>
  <si>
    <t>Hartland, WI</t>
  </si>
  <si>
    <t>Brakes &amp; Valves</t>
  </si>
  <si>
    <t>Oakwood Village, OH</t>
  </si>
  <si>
    <t>$17M - $22M</t>
  </si>
  <si>
    <t>$7M-$8M</t>
  </si>
  <si>
    <t>OEM / PMA/STC Mfg.</t>
  </si>
  <si>
    <t>$4M - $6M</t>
  </si>
  <si>
    <t>TBD</t>
  </si>
  <si>
    <t>Talking</t>
  </si>
  <si>
    <t>Lear Chemical</t>
  </si>
  <si>
    <t>Anti-corrosion Lubricants</t>
  </si>
  <si>
    <t>Ontario, Canada</t>
  </si>
  <si>
    <t>$7M - $10M</t>
  </si>
  <si>
    <t>Wilco</t>
  </si>
  <si>
    <t>Newton, KS</t>
  </si>
  <si>
    <t>Lee Aerospace</t>
  </si>
  <si>
    <t>Windshields and windows</t>
  </si>
  <si>
    <t>Wichita, KS</t>
  </si>
  <si>
    <t>Webco</t>
  </si>
  <si>
    <t>Piper PMA and Camanche repair station</t>
  </si>
  <si>
    <t>JP Instruments</t>
  </si>
  <si>
    <t>Digital Displays</t>
  </si>
  <si>
    <t>Cost Mesa, CA</t>
  </si>
  <si>
    <t>B&amp;C Specialty</t>
  </si>
  <si>
    <t>Alternators/Lycoming Oil Filter Adapters</t>
  </si>
  <si>
    <t>Texas Skyways</t>
  </si>
  <si>
    <t>STC</t>
  </si>
  <si>
    <t>Engine STCs</t>
  </si>
  <si>
    <t>Boerne, TX</t>
  </si>
  <si>
    <t>KS Avionics</t>
  </si>
  <si>
    <t>Sensors and probes</t>
  </si>
  <si>
    <t>N. Canton, OH</t>
  </si>
  <si>
    <t>Approved Turbo Components</t>
  </si>
  <si>
    <t>Repair Station</t>
  </si>
  <si>
    <t>Turbo Overhauler</t>
  </si>
  <si>
    <t>Vero Beach, FL</t>
  </si>
  <si>
    <t>Mike's Fuel Metering</t>
  </si>
  <si>
    <t>Fuel systems overhauler</t>
  </si>
  <si>
    <t>Tulsa, OK</t>
  </si>
  <si>
    <t>PowerFlow Systems</t>
  </si>
  <si>
    <t>Tuned Exhaust Systems</t>
  </si>
  <si>
    <t>Daytona Beach, FL</t>
  </si>
  <si>
    <t>Mid Continent/Tru Blue</t>
  </si>
  <si>
    <t>Airframe Parts</t>
  </si>
  <si>
    <t>No</t>
  </si>
  <si>
    <t>$5M</t>
  </si>
  <si>
    <t>Airframes</t>
  </si>
  <si>
    <t>$15M-$20M</t>
  </si>
  <si>
    <t>500K</t>
  </si>
  <si>
    <t>Aero Brakes</t>
  </si>
  <si>
    <t>Lago Vista, TX</t>
  </si>
  <si>
    <t>$25M</t>
  </si>
  <si>
    <t>$2M</t>
  </si>
  <si>
    <t>$1M</t>
  </si>
  <si>
    <t>$3M</t>
  </si>
  <si>
    <t>$4M</t>
  </si>
  <si>
    <t>$</t>
  </si>
  <si>
    <t xml:space="preserve">$2M - $5M </t>
  </si>
  <si>
    <t>$80M</t>
  </si>
  <si>
    <t>Batteries/Electronics</t>
  </si>
  <si>
    <t>Kenmore</t>
  </si>
  <si>
    <t>Seattle WA</t>
  </si>
  <si>
    <t>Coastal Air Strike</t>
  </si>
  <si>
    <t>Immokalee, FL</t>
  </si>
  <si>
    <t>ACQUISITION PIPELINE DASHBOARD</t>
  </si>
  <si>
    <t>TOTAL TARGETS</t>
  </si>
  <si>
    <t>ACTIVE DISCUSSIONS</t>
  </si>
  <si>
    <t>PIPELINE</t>
  </si>
  <si>
    <t>Potential Acquisitions</t>
  </si>
  <si>
    <t>"Talking" Stage</t>
  </si>
  <si>
    <t>"On the Horizon"</t>
  </si>
  <si>
    <t>BY CATEGORY</t>
  </si>
  <si>
    <t>Count</t>
  </si>
  <si>
    <t>Other</t>
  </si>
  <si>
    <t>BY REGION</t>
  </si>
  <si>
    <t>Region</t>
  </si>
  <si>
    <t>Midwest</t>
  </si>
  <si>
    <t>West</t>
  </si>
  <si>
    <t>South</t>
  </si>
  <si>
    <t>Northeast</t>
  </si>
  <si>
    <t>International</t>
  </si>
  <si>
    <t>BY REVENUE SIZE</t>
  </si>
  <si>
    <t>Revenue Range</t>
  </si>
  <si>
    <t>&lt;$3M</t>
  </si>
  <si>
    <t>$3M-$10M</t>
  </si>
  <si>
    <t>$10M-$25M</t>
  </si>
  <si>
    <t>$25M-$100M</t>
  </si>
  <si>
    <t>Stage</t>
  </si>
  <si>
    <t>TARGET OVERVIEW (Anonymized)</t>
  </si>
  <si>
    <t>Target</t>
  </si>
  <si>
    <t>Est. Revenue ($M)</t>
  </si>
  <si>
    <t>Target A</t>
  </si>
  <si>
    <t>Pipeline</t>
  </si>
  <si>
    <t>Target B</t>
  </si>
  <si>
    <t>Active</t>
  </si>
  <si>
    <t>OEM/PMA</t>
  </si>
  <si>
    <t>Target C</t>
  </si>
  <si>
    <t>Target D</t>
  </si>
  <si>
    <t>PMA/STC</t>
  </si>
  <si>
    <t>Target E</t>
  </si>
  <si>
    <t>Target F</t>
  </si>
  <si>
    <t>Target G</t>
  </si>
  <si>
    <t>Target H</t>
  </si>
  <si>
    <t>Target I</t>
  </si>
  <si>
    <t>Other (16)</t>
  </si>
  <si>
    <t>&lt;$6M each</t>
  </si>
  <si>
    <t>Mixed</t>
  </si>
  <si>
    <t>Various</t>
  </si>
  <si>
    <t>KEY INSIGHTS</t>
  </si>
  <si>
    <t>•</t>
  </si>
  <si>
    <t>44% located in Midwest – regional consolidation opportunity</t>
  </si>
  <si>
    <t>68% of targets are PMA/STC manufacturers – core competency alignment</t>
  </si>
  <si>
    <t>2 targets over $25M – transformational acquisition potential</t>
  </si>
  <si>
    <t>Company Name</t>
  </si>
  <si>
    <t>Pipeline Stage</t>
  </si>
  <si>
    <t>Website</t>
  </si>
  <si>
    <t>www.aerotwin.com</t>
  </si>
  <si>
    <t>www.stevesaircraft.com</t>
  </si>
  <si>
    <t>www.aelparts.com</t>
  </si>
  <si>
    <t>www.learchem.com</t>
  </si>
  <si>
    <t>www.knots2u.net</t>
  </si>
  <si>
    <t>www.kenmoreairharbor.com</t>
  </si>
  <si>
    <t>www.coastalairstrike.com</t>
  </si>
  <si>
    <t>www.aerobrake.com</t>
  </si>
  <si>
    <t>www.mcico.com</t>
  </si>
  <si>
    <t>www.sportys.com</t>
  </si>
  <si>
    <t>www.ralmark.com</t>
  </si>
  <si>
    <t>www.univair.com</t>
  </si>
  <si>
    <t>www.aero-classics.com</t>
  </si>
  <si>
    <t>www.rapcoinc.com</t>
  </si>
  <si>
    <t>www.weldonpumps.com</t>
  </si>
  <si>
    <t>www.leeaerospace.com</t>
  </si>
  <si>
    <t>www.webcoaircraft.com</t>
  </si>
  <si>
    <t>www.jpinstruments.com</t>
  </si>
  <si>
    <t>www.bandc.com</t>
  </si>
  <si>
    <t>www.txskyways.com</t>
  </si>
  <si>
    <t>www.ksavionics.com</t>
  </si>
  <si>
    <t>www.approvedturbo.com</t>
  </si>
  <si>
    <t>www.powerflowsystems.com</t>
  </si>
  <si>
    <t>www.wilcoaircraftparts.com</t>
  </si>
  <si>
    <t>Turn #</t>
  </si>
  <si>
    <t>Date</t>
  </si>
  <si>
    <t>User Request</t>
  </si>
  <si>
    <t>Action Taken</t>
  </si>
  <si>
    <t>Details</t>
  </si>
  <si>
    <t>Outcome</t>
  </si>
  <si>
    <t>Research and populate website URLs for 25 aviation companies listed in the Summary sheet (Column H).</t>
  </si>
  <si>
    <t>Batch web research and URL population</t>
  </si>
  <si>
    <t>Read company data from Summary!A1:H31. Conducted web searches for all 25 companies. Compiled verified URLs and wrote them to H2:H26 using set_cell_range. Mike's Fuel Metering (row 24) left blank — no official website found.</t>
  </si>
  <si>
    <t>Column H fully populated: 24 of 25 companies have website URLs. Mike's Fuel Metering has no website. Columns A-G untouched. Data integrity confirmed.</t>
  </si>
  <si>
    <t>Continue from compressed summary — verify website data and complete Claude Log setup.</t>
  </si>
  <si>
    <t>Verified all 25 companies via get_range_as_csv; created Claude Log sheet with headers and log entries.</t>
  </si>
  <si>
    <t>Re-read Summary!A1:H31 to confirm all URLs present. Verified Mike's Fuel Metering (H24) is blank as expected. Set up Claude Log sheet with 6-column structure (Turn #, Date, User Request, Action Taken, Details, Outcome).</t>
  </si>
  <si>
    <t>All 25 companies verified. Claude Log initialized with full operation history. Task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</si>
</sst>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Roboto Condensed"/>
    </font>
    <font>
      <b/>
      <sz val="11"/>
      <name val="Roboto Condensed"/>
    </font>
    <font>
      <b/>
      <sz val="11"/>
      <color theme="1"/>
      <name val="Roboto Condensed"/>
    </font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4E79"/>
      <name val="Calibri"/>
      <family val="2"/>
      <scheme val="minor"/>
    </font>
    <font>
      <sz val="11"/>
      <color theme="1"/>
      <name val="Aileron"/>
      <family val="3"/>
    </font>
    <font>
      <b/>
      <sz val="36"/>
      <color rgb="FF1F4E79"/>
      <name val="Aileron"/>
      <family val="3"/>
    </font>
    <font>
      <b/>
      <sz val="36"/>
      <color rgb="FF2E75B6"/>
      <name val="Aileron"/>
      <family val="3"/>
    </font>
    <font>
      <sz val="10"/>
      <color theme="1"/>
      <name val="Aileron"/>
      <family val="3"/>
    </font>
    <font>
      <i/>
      <sz val="10"/>
      <color theme="1"/>
      <name val="Aileron"/>
      <family val="3"/>
    </font>
    <font>
      <b/>
      <sz val="20"/>
      <color rgb="FF1F4E79"/>
      <name val="Aileron Bold"/>
      <family val="3"/>
    </font>
    <font>
      <b/>
      <sz val="10"/>
      <color rgb="FFFFFFFF"/>
      <name val="Aileron Bold"/>
      <family val="3"/>
    </font>
    <font>
      <sz val="10"/>
      <name val="Aileron"/>
      <family val="3"/>
    </font>
    <font>
      <b/>
      <sz val="11"/>
      <color rgb="FF1F4E79"/>
      <name val="Aileron Bold"/>
      <family val="3"/>
    </font>
    <font>
      <sz val="11"/>
      <color theme="1"/>
      <name val="Aileron Bold"/>
      <family val="3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93151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1" fillId="5" borderId="0" xfId="0" applyFont="1" applyFill="1"/>
    <xf numFmtId="0" fontId="11" fillId="5" borderId="0" xfId="0" applyFont="1" applyFill="1" applyAlignment="1">
      <alignment horizontal="center"/>
    </xf>
    <xf numFmtId="0" fontId="11" fillId="6" borderId="0" xfId="0" applyFont="1" applyFill="1"/>
    <xf numFmtId="0" fontId="11" fillId="6" borderId="0" xfId="0" applyFont="1" applyFill="1" applyAlignment="1">
      <alignment horizontal="center"/>
    </xf>
    <xf numFmtId="0" fontId="12" fillId="4" borderId="0" xfId="0" applyFont="1" applyFill="1"/>
    <xf numFmtId="0" fontId="12" fillId="4" borderId="0" xfId="0" applyFont="1" applyFill="1" applyAlignment="1">
      <alignment horizontal="center"/>
    </xf>
    <xf numFmtId="0" fontId="13" fillId="0" borderId="0" xfId="0" applyFont="1"/>
    <xf numFmtId="0" fontId="14" fillId="3" borderId="0" xfId="0" applyFont="1" applyFill="1" applyAlignment="1">
      <alignment horizontal="center"/>
    </xf>
    <xf numFmtId="0" fontId="14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6" fillId="0" borderId="0" xfId="0" applyFont="1"/>
    <xf numFmtId="0" fontId="17" fillId="0" borderId="0" xfId="0" applyFont="1"/>
    <xf numFmtId="0" fontId="14" fillId="3" borderId="0" xfId="0" applyFont="1" applyFill="1"/>
    <xf numFmtId="0" fontId="18" fillId="8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193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76-4F23-A969-75A3D78627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76-4F23-A969-75A3D78627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76-4F23-A969-75A3D78627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76-4F23-A969-75A3D78627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76-4F23-A969-75A3D78627DE}"/>
              </c:ext>
            </c:extLst>
          </c:dPt>
          <c:cat>
            <c:strRef>
              <c:f>Dashboard!$A$10:$A$14</c:f>
              <c:strCache>
                <c:ptCount val="5"/>
                <c:pt idx="0">
                  <c:v>PMA/STC Mfg.</c:v>
                </c:pt>
                <c:pt idx="1">
                  <c:v>OEM / PMA/STC Mfg.</c:v>
                </c:pt>
                <c:pt idx="2">
                  <c:v>Distributor</c:v>
                </c:pt>
                <c:pt idx="3">
                  <c:v>Repair Station</c:v>
                </c:pt>
                <c:pt idx="4">
                  <c:v>Other</c:v>
                </c:pt>
              </c:strCache>
            </c:strRef>
          </c:cat>
          <c:val>
            <c:numRef>
              <c:f>Dashboard!$B$10:$B$14</c:f>
              <c:numCache>
                <c:formatCode>General</c:formatCode>
                <c:ptCount val="5"/>
                <c:pt idx="0">
                  <c:v>17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3-40CC-98D6-9726C8472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Dashboard!$D$10:$D$14</c:f>
              <c:strCache>
                <c:ptCount val="5"/>
                <c:pt idx="0">
                  <c:v>Midwest</c:v>
                </c:pt>
                <c:pt idx="1">
                  <c:v>West</c:v>
                </c:pt>
                <c:pt idx="2">
                  <c:v>South</c:v>
                </c:pt>
                <c:pt idx="3">
                  <c:v>Northeast</c:v>
                </c:pt>
                <c:pt idx="4">
                  <c:v>International</c:v>
                </c:pt>
              </c:strCache>
            </c:strRef>
          </c:cat>
          <c:val>
            <c:numRef>
              <c:f>Dashboard!$E$10:$E$14</c:f>
              <c:numCache>
                <c:formatCode>General</c:formatCode>
                <c:ptCount val="5"/>
                <c:pt idx="0">
                  <c:v>11</c:v>
                </c:pt>
                <c:pt idx="1">
                  <c:v>6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2-4367-BCE9-17DBD084A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1649792"/>
        <c:axId val="711650752"/>
      </c:barChart>
      <c:catAx>
        <c:axId val="71164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650752"/>
        <c:crosses val="autoZero"/>
        <c:auto val="1"/>
        <c:lblAlgn val="ctr"/>
        <c:lblOffset val="100"/>
        <c:noMultiLvlLbl val="0"/>
      </c:catAx>
      <c:valAx>
        <c:axId val="71165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64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Targets by Revenue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Dashboard!$G$10:$G$15</c:f>
              <c:strCache>
                <c:ptCount val="5"/>
                <c:pt idx="0">
                  <c:v>&lt;$3M</c:v>
                </c:pt>
                <c:pt idx="1">
                  <c:v>$3M-$10M</c:v>
                </c:pt>
                <c:pt idx="2">
                  <c:v>$10M-$25M</c:v>
                </c:pt>
                <c:pt idx="3">
                  <c:v>$25M-$100M</c:v>
                </c:pt>
                <c:pt idx="4">
                  <c:v>TBD</c:v>
                </c:pt>
              </c:strCache>
            </c:strRef>
          </c:cat>
          <c:val>
            <c:numRef>
              <c:f>Dashboard!$H$10:$H$15</c:f>
              <c:numCache>
                <c:formatCode>General</c:formatCode>
                <c:ptCount val="6"/>
                <c:pt idx="0">
                  <c:v>7</c:v>
                </c:pt>
                <c:pt idx="1">
                  <c:v>12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3-4731-9C77-105AFF4C8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805888"/>
        <c:axId val="234806368"/>
      </c:barChart>
      <c:catAx>
        <c:axId val="23480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06368"/>
        <c:crosses val="autoZero"/>
        <c:auto val="1"/>
        <c:lblAlgn val="ctr"/>
        <c:lblOffset val="100"/>
        <c:noMultiLvlLbl val="0"/>
      </c:catAx>
      <c:valAx>
        <c:axId val="23480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0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C5-44E3-9B84-279DAB2995F9}"/>
              </c:ext>
            </c:extLst>
          </c:dPt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9C3-41C0-91FF-70A4BF1FF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Targets by Est. Revenue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838635170603674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Other (16)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Dashboard!$B$19:$B$27</c:f>
              <c:numCache>
                <c:formatCode>General</c:formatCode>
                <c:ptCount val="9"/>
                <c:pt idx="0">
                  <c:v>80</c:v>
                </c:pt>
                <c:pt idx="1">
                  <c:v>25</c:v>
                </c:pt>
                <c:pt idx="2">
                  <c:v>19.5</c:v>
                </c:pt>
                <c:pt idx="3">
                  <c:v>17.5</c:v>
                </c:pt>
                <c:pt idx="4">
                  <c:v>8.5</c:v>
                </c:pt>
                <c:pt idx="5">
                  <c:v>7.5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</c:numCache>
            </c:numRef>
          </c:cat>
          <c:val>
            <c:numRef>
              <c:f>Dashboard!$B$28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2-45C2-B09A-102AD6ADD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5186832"/>
        <c:axId val="755186352"/>
      </c:barChart>
      <c:catAx>
        <c:axId val="755186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86352"/>
        <c:crosses val="autoZero"/>
        <c:auto val="1"/>
        <c:lblAlgn val="ctr"/>
        <c:lblOffset val="100"/>
        <c:noMultiLvlLbl val="0"/>
      </c:catAx>
      <c:valAx>
        <c:axId val="75518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8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304800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CF35D-B4C8-3812-5F6B-A39657C08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542925</xdr:colOff>
      <xdr:row>2</xdr:row>
      <xdr:rowOff>0</xdr:rowOff>
    </xdr:from>
    <xdr:to>
      <xdr:col>24</xdr:col>
      <xdr:colOff>238125</xdr:colOff>
      <xdr:row>14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59C746-FAEF-7C96-1FFA-2B2B973F2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304800</xdr:colOff>
      <xdr:row>29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E7B6FE-AB4C-69E9-3046-198A67ADE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523875</xdr:colOff>
      <xdr:row>17</xdr:row>
      <xdr:rowOff>47625</xdr:rowOff>
    </xdr:from>
    <xdr:to>
      <xdr:col>25</xdr:col>
      <xdr:colOff>219075</xdr:colOff>
      <xdr:row>30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42AAE0-92F0-57DA-D4D7-7048CEBEF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190500</xdr:colOff>
      <xdr:row>36</xdr:row>
      <xdr:rowOff>57150</xdr:rowOff>
    </xdr:from>
    <xdr:to>
      <xdr:col>16</xdr:col>
      <xdr:colOff>495300</xdr:colOff>
      <xdr:row>50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DDAD88-4A29-4A1E-7B89-0A42D72E0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480A76-1C63-4C73-A269-B92A991F1E93}">
  <we:reference id="WA200009404" version="1.0.0.4" store="Omex" storeType="OMEX"/>
  <we:alternateReferences>
    <we:reference id="WA200009404" version="1.0.0.4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01FA-2C82-F24C-B6F5-8F124F7D5171}">
  <dimension ref="A1:F3"/>
  <sheetViews>
    <sheetView workbookViewId="0">
      <selection activeCell="G15" sqref="G15"/>
    </sheetView>
  </sheetViews>
  <sheetFormatPr baseColWidth="10" defaultRowHeight="15"/>
  <cols>
    <col min="1" max="1" width="8.33203125" customWidth="1"/>
    <col min="2" max="2" width="13.33203125" customWidth="1"/>
    <col min="3" max="4" width="33.33203125" customWidth="1"/>
    <col min="5" max="5" width="50" customWidth="1"/>
    <col min="6" max="6" width="41.6640625" customWidth="1"/>
  </cols>
  <sheetData>
    <row r="1" spans="1:6">
      <c r="A1" s="36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  <c r="F1" s="36" t="s">
        <v>185</v>
      </c>
    </row>
    <row r="2" spans="1:6" ht="60" customHeight="1">
      <c r="A2" s="37">
        <v>1</v>
      </c>
      <c r="B2" s="38">
        <v>46065</v>
      </c>
      <c r="C2" s="37" t="s">
        <v>186</v>
      </c>
      <c r="D2" s="37" t="s">
        <v>187</v>
      </c>
      <c r="E2" s="37" t="s">
        <v>188</v>
      </c>
      <c r="F2" s="37" t="s">
        <v>189</v>
      </c>
    </row>
    <row r="3" spans="1:6" ht="60" customHeight="1">
      <c r="A3" s="37">
        <v>2</v>
      </c>
      <c r="B3" s="38">
        <v>46065</v>
      </c>
      <c r="C3" s="37" t="s">
        <v>190</v>
      </c>
      <c r="D3" s="37" t="s">
        <v>191</v>
      </c>
      <c r="E3" s="37" t="s">
        <v>192</v>
      </c>
      <c r="F3" s="37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FA94-C873-4ADF-AC84-05CFA08EAA40}">
  <dimension ref="A1:H27"/>
  <sheetViews>
    <sheetView showGridLines="0" tabSelected="1" workbookViewId="0">
      <selection activeCell="C41" sqref="C41"/>
    </sheetView>
  </sheetViews>
  <sheetFormatPr baseColWidth="10" defaultColWidth="9.1640625" defaultRowHeight="15"/>
  <cols>
    <col min="1" max="1" width="33.1640625" style="1" bestFit="1" customWidth="1"/>
    <col min="2" max="2" width="33.1640625" style="1" customWidth="1"/>
    <col min="3" max="3" width="19.6640625" style="5" bestFit="1" customWidth="1"/>
    <col min="4" max="4" width="35.33203125" style="5" bestFit="1" customWidth="1"/>
    <col min="5" max="5" width="10.1640625" style="4" bestFit="1" customWidth="1"/>
    <col min="6" max="6" width="18.6640625" style="5" bestFit="1" customWidth="1"/>
    <col min="7" max="7" width="17.83203125" style="4" customWidth="1"/>
    <col min="8" max="8" width="14.33203125" style="1" bestFit="1" customWidth="1"/>
    <col min="9" max="16384" width="9.1640625" style="1"/>
  </cols>
  <sheetData>
    <row r="1" spans="1:8" s="2" customFormat="1">
      <c r="A1" s="13" t="s">
        <v>153</v>
      </c>
      <c r="B1" s="13" t="s">
        <v>154</v>
      </c>
      <c r="C1" s="13" t="s">
        <v>1</v>
      </c>
      <c r="D1" s="13" t="s">
        <v>2</v>
      </c>
      <c r="E1" s="13" t="s">
        <v>27</v>
      </c>
      <c r="F1" s="13" t="s">
        <v>3</v>
      </c>
      <c r="G1" s="13" t="s">
        <v>4</v>
      </c>
      <c r="H1" s="13" t="s">
        <v>155</v>
      </c>
    </row>
    <row r="2" spans="1:8">
      <c r="A2" s="9" t="s">
        <v>6</v>
      </c>
      <c r="B2" s="6" t="s">
        <v>48</v>
      </c>
      <c r="C2" s="7" t="s">
        <v>15</v>
      </c>
      <c r="D2" s="7" t="s">
        <v>16</v>
      </c>
      <c r="E2" s="8" t="s">
        <v>5</v>
      </c>
      <c r="F2" s="7" t="s">
        <v>26</v>
      </c>
      <c r="G2" s="8" t="s">
        <v>29</v>
      </c>
      <c r="H2" s="1" t="s">
        <v>156</v>
      </c>
    </row>
    <row r="3" spans="1:8">
      <c r="A3" s="9" t="s">
        <v>7</v>
      </c>
      <c r="B3" s="6" t="s">
        <v>48</v>
      </c>
      <c r="C3" s="7" t="s">
        <v>15</v>
      </c>
      <c r="D3" s="7" t="s">
        <v>18</v>
      </c>
      <c r="E3" s="8" t="s">
        <v>84</v>
      </c>
      <c r="F3" s="7" t="s">
        <v>19</v>
      </c>
      <c r="G3" s="8" t="s">
        <v>29</v>
      </c>
      <c r="H3" s="1" t="s">
        <v>157</v>
      </c>
    </row>
    <row r="4" spans="1:8">
      <c r="A4" s="9" t="s">
        <v>32</v>
      </c>
      <c r="B4" s="6" t="s">
        <v>48</v>
      </c>
      <c r="C4" s="7" t="s">
        <v>15</v>
      </c>
      <c r="D4" s="7" t="s">
        <v>36</v>
      </c>
      <c r="E4" s="8" t="s">
        <v>5</v>
      </c>
      <c r="F4" s="7" t="s">
        <v>37</v>
      </c>
      <c r="G4" s="8" t="s">
        <v>46</v>
      </c>
      <c r="H4" s="1" t="s">
        <v>158</v>
      </c>
    </row>
    <row r="5" spans="1:8">
      <c r="A5" s="9" t="s">
        <v>49</v>
      </c>
      <c r="B5" s="6" t="s">
        <v>48</v>
      </c>
      <c r="C5" s="7" t="s">
        <v>15</v>
      </c>
      <c r="D5" s="7" t="s">
        <v>50</v>
      </c>
      <c r="E5" s="8" t="s">
        <v>5</v>
      </c>
      <c r="F5" s="7" t="s">
        <v>51</v>
      </c>
      <c r="G5" s="8" t="s">
        <v>47</v>
      </c>
      <c r="H5" s="1" t="s">
        <v>159</v>
      </c>
    </row>
    <row r="6" spans="1:8">
      <c r="A6" s="9" t="s">
        <v>33</v>
      </c>
      <c r="B6" s="6" t="s">
        <v>48</v>
      </c>
      <c r="C6" s="7" t="s">
        <v>15</v>
      </c>
      <c r="D6" s="7" t="s">
        <v>12</v>
      </c>
      <c r="E6" s="8" t="s">
        <v>5</v>
      </c>
      <c r="F6" s="7" t="s">
        <v>38</v>
      </c>
      <c r="G6" s="8" t="s">
        <v>44</v>
      </c>
      <c r="H6" s="1" t="s">
        <v>160</v>
      </c>
    </row>
    <row r="7" spans="1:8">
      <c r="A7" s="9" t="s">
        <v>100</v>
      </c>
      <c r="B7" s="6" t="s">
        <v>48</v>
      </c>
      <c r="C7" s="7" t="s">
        <v>15</v>
      </c>
      <c r="D7" s="7" t="s">
        <v>83</v>
      </c>
      <c r="E7" s="8" t="s">
        <v>84</v>
      </c>
      <c r="F7" s="7" t="s">
        <v>101</v>
      </c>
      <c r="G7" s="8" t="s">
        <v>85</v>
      </c>
      <c r="H7" s="1" t="s">
        <v>161</v>
      </c>
    </row>
    <row r="8" spans="1:8">
      <c r="A8" s="9" t="s">
        <v>102</v>
      </c>
      <c r="B8" s="6" t="s">
        <v>48</v>
      </c>
      <c r="C8" s="7" t="s">
        <v>15</v>
      </c>
      <c r="D8" s="7" t="s">
        <v>83</v>
      </c>
      <c r="E8" s="8" t="s">
        <v>5</v>
      </c>
      <c r="F8" s="7" t="s">
        <v>103</v>
      </c>
      <c r="G8" s="8" t="s">
        <v>88</v>
      </c>
      <c r="H8" s="1" t="s">
        <v>162</v>
      </c>
    </row>
    <row r="9" spans="1:8">
      <c r="A9" s="9" t="s">
        <v>89</v>
      </c>
      <c r="B9" s="6" t="s">
        <v>48</v>
      </c>
      <c r="C9" s="7" t="s">
        <v>15</v>
      </c>
      <c r="D9" s="7" t="s">
        <v>83</v>
      </c>
      <c r="E9" s="8" t="s">
        <v>5</v>
      </c>
      <c r="F9" s="7" t="s">
        <v>90</v>
      </c>
      <c r="G9" s="8" t="s">
        <v>85</v>
      </c>
      <c r="H9" s="1" t="s">
        <v>163</v>
      </c>
    </row>
    <row r="10" spans="1:8">
      <c r="A10" s="9" t="s">
        <v>82</v>
      </c>
      <c r="B10" s="6" t="s">
        <v>48</v>
      </c>
      <c r="C10" s="7" t="str">
        <f>C17</f>
        <v>OEM / PMA/STC Mfg.</v>
      </c>
      <c r="D10" s="7" t="s">
        <v>99</v>
      </c>
      <c r="E10" s="8" t="s">
        <v>84</v>
      </c>
      <c r="F10" s="7" t="s">
        <v>57</v>
      </c>
      <c r="G10" s="8" t="s">
        <v>98</v>
      </c>
      <c r="H10" s="1" t="s">
        <v>164</v>
      </c>
    </row>
    <row r="11" spans="1:8">
      <c r="A11" s="9" t="s">
        <v>10</v>
      </c>
      <c r="B11" s="6" t="s">
        <v>30</v>
      </c>
      <c r="C11" s="7" t="s">
        <v>13</v>
      </c>
      <c r="D11" s="7" t="s">
        <v>24</v>
      </c>
      <c r="E11" s="8" t="s">
        <v>0</v>
      </c>
      <c r="F11" s="7" t="s">
        <v>25</v>
      </c>
      <c r="G11" s="8" t="s">
        <v>87</v>
      </c>
      <c r="H11" s="1" t="s">
        <v>165</v>
      </c>
    </row>
    <row r="12" spans="1:8">
      <c r="A12" s="9" t="s">
        <v>8</v>
      </c>
      <c r="B12" s="6" t="s">
        <v>30</v>
      </c>
      <c r="C12" s="7" t="s">
        <v>45</v>
      </c>
      <c r="D12" s="7" t="s">
        <v>20</v>
      </c>
      <c r="E12" s="8" t="s">
        <v>0</v>
      </c>
      <c r="F12" s="7" t="s">
        <v>21</v>
      </c>
      <c r="G12" s="8" t="s">
        <v>52</v>
      </c>
      <c r="H12" s="1" t="s">
        <v>166</v>
      </c>
    </row>
    <row r="13" spans="1:8">
      <c r="A13" s="9" t="s">
        <v>11</v>
      </c>
      <c r="B13" s="6" t="s">
        <v>30</v>
      </c>
      <c r="C13" s="7" t="s">
        <v>14</v>
      </c>
      <c r="D13" s="7" t="s">
        <v>17</v>
      </c>
      <c r="E13" s="8" t="s">
        <v>0</v>
      </c>
      <c r="F13" s="7" t="s">
        <v>31</v>
      </c>
      <c r="G13" s="8" t="s">
        <v>28</v>
      </c>
      <c r="H13" s="3" t="s">
        <v>167</v>
      </c>
    </row>
    <row r="14" spans="1:8">
      <c r="A14" s="9" t="s">
        <v>9</v>
      </c>
      <c r="B14" s="6" t="s">
        <v>30</v>
      </c>
      <c r="C14" s="7" t="s">
        <v>15</v>
      </c>
      <c r="D14" s="7" t="s">
        <v>22</v>
      </c>
      <c r="E14" s="8" t="s">
        <v>0</v>
      </c>
      <c r="F14" s="7" t="s">
        <v>23</v>
      </c>
      <c r="G14" s="8" t="s">
        <v>28</v>
      </c>
      <c r="H14" s="1" t="s">
        <v>168</v>
      </c>
    </row>
    <row r="15" spans="1:8">
      <c r="A15" s="10" t="s">
        <v>34</v>
      </c>
      <c r="B15" s="6" t="s">
        <v>30</v>
      </c>
      <c r="C15" s="11" t="s">
        <v>15</v>
      </c>
      <c r="D15" s="7" t="s">
        <v>39</v>
      </c>
      <c r="E15" s="12" t="s">
        <v>0</v>
      </c>
      <c r="F15" s="11" t="s">
        <v>40</v>
      </c>
      <c r="G15" s="12" t="s">
        <v>28</v>
      </c>
      <c r="H15" s="1" t="s">
        <v>169</v>
      </c>
    </row>
    <row r="16" spans="1:8">
      <c r="A16" s="9" t="s">
        <v>35</v>
      </c>
      <c r="B16" s="6" t="s">
        <v>30</v>
      </c>
      <c r="C16" s="7" t="s">
        <v>15</v>
      </c>
      <c r="D16" s="7" t="s">
        <v>41</v>
      </c>
      <c r="E16" s="8" t="s">
        <v>0</v>
      </c>
      <c r="F16" s="7" t="s">
        <v>42</v>
      </c>
      <c r="G16" s="8" t="s">
        <v>43</v>
      </c>
      <c r="H16" s="1" t="s">
        <v>170</v>
      </c>
    </row>
    <row r="17" spans="1:8">
      <c r="A17" s="9" t="s">
        <v>55</v>
      </c>
      <c r="B17" s="6" t="s">
        <v>30</v>
      </c>
      <c r="C17" s="7" t="s">
        <v>45</v>
      </c>
      <c r="D17" s="7" t="s">
        <v>56</v>
      </c>
      <c r="E17" s="8" t="s">
        <v>0</v>
      </c>
      <c r="F17" s="7" t="s">
        <v>57</v>
      </c>
      <c r="G17" s="8" t="s">
        <v>91</v>
      </c>
      <c r="H17" s="1" t="s">
        <v>171</v>
      </c>
    </row>
    <row r="18" spans="1:8">
      <c r="A18" s="9" t="s">
        <v>58</v>
      </c>
      <c r="B18" s="6" t="s">
        <v>30</v>
      </c>
      <c r="C18" s="7" t="s">
        <v>15</v>
      </c>
      <c r="D18" s="7" t="s">
        <v>59</v>
      </c>
      <c r="E18" s="8" t="s">
        <v>0</v>
      </c>
      <c r="F18" s="7" t="s">
        <v>54</v>
      </c>
      <c r="G18" s="8" t="s">
        <v>92</v>
      </c>
      <c r="H18" s="1" t="s">
        <v>172</v>
      </c>
    </row>
    <row r="19" spans="1:8">
      <c r="A19" s="10" t="s">
        <v>60</v>
      </c>
      <c r="B19" s="6" t="s">
        <v>30</v>
      </c>
      <c r="C19" s="11" t="s">
        <v>15</v>
      </c>
      <c r="D19" s="7" t="s">
        <v>61</v>
      </c>
      <c r="E19" s="8" t="s">
        <v>0</v>
      </c>
      <c r="F19" s="11" t="s">
        <v>62</v>
      </c>
      <c r="G19" s="14" t="s">
        <v>93</v>
      </c>
      <c r="H19" s="1" t="s">
        <v>173</v>
      </c>
    </row>
    <row r="20" spans="1:8">
      <c r="A20" s="10" t="s">
        <v>63</v>
      </c>
      <c r="B20" s="6" t="s">
        <v>30</v>
      </c>
      <c r="C20" s="11" t="s">
        <v>15</v>
      </c>
      <c r="D20" s="7" t="s">
        <v>64</v>
      </c>
      <c r="E20" s="8" t="s">
        <v>0</v>
      </c>
      <c r="F20" s="11" t="s">
        <v>54</v>
      </c>
      <c r="G20" s="14" t="s">
        <v>93</v>
      </c>
      <c r="H20" s="1" t="s">
        <v>174</v>
      </c>
    </row>
    <row r="21" spans="1:8">
      <c r="A21" s="10" t="s">
        <v>65</v>
      </c>
      <c r="B21" s="6" t="s">
        <v>30</v>
      </c>
      <c r="C21" s="11" t="s">
        <v>66</v>
      </c>
      <c r="D21" s="7" t="s">
        <v>67</v>
      </c>
      <c r="E21" s="8" t="s">
        <v>0</v>
      </c>
      <c r="F21" s="11" t="s">
        <v>68</v>
      </c>
      <c r="G21" s="14" t="s">
        <v>94</v>
      </c>
      <c r="H21" s="1" t="s">
        <v>175</v>
      </c>
    </row>
    <row r="22" spans="1:8">
      <c r="A22" s="10" t="s">
        <v>69</v>
      </c>
      <c r="B22" s="6" t="s">
        <v>30</v>
      </c>
      <c r="C22" s="11" t="s">
        <v>15</v>
      </c>
      <c r="D22" s="7" t="s">
        <v>70</v>
      </c>
      <c r="E22" s="8" t="s">
        <v>0</v>
      </c>
      <c r="F22" s="11" t="s">
        <v>71</v>
      </c>
      <c r="G22" s="8" t="s">
        <v>95</v>
      </c>
      <c r="H22" s="1" t="s">
        <v>176</v>
      </c>
    </row>
    <row r="23" spans="1:8">
      <c r="A23" s="10" t="s">
        <v>72</v>
      </c>
      <c r="B23" s="6" t="s">
        <v>30</v>
      </c>
      <c r="C23" s="11" t="s">
        <v>73</v>
      </c>
      <c r="D23" s="7" t="s">
        <v>74</v>
      </c>
      <c r="E23" s="8" t="s">
        <v>0</v>
      </c>
      <c r="F23" s="11" t="s">
        <v>75</v>
      </c>
      <c r="G23" s="8" t="s">
        <v>92</v>
      </c>
      <c r="H23" s="1" t="s">
        <v>177</v>
      </c>
    </row>
    <row r="24" spans="1:8">
      <c r="A24" s="9" t="s">
        <v>76</v>
      </c>
      <c r="B24" s="6" t="s">
        <v>30</v>
      </c>
      <c r="C24" s="7" t="s">
        <v>73</v>
      </c>
      <c r="D24" s="7" t="s">
        <v>77</v>
      </c>
      <c r="E24" s="8" t="s">
        <v>0</v>
      </c>
      <c r="F24" s="7" t="s">
        <v>78</v>
      </c>
      <c r="G24" s="8" t="s">
        <v>96</v>
      </c>
    </row>
    <row r="25" spans="1:8">
      <c r="A25" s="9" t="s">
        <v>79</v>
      </c>
      <c r="B25" s="6" t="s">
        <v>30</v>
      </c>
      <c r="C25" s="7" t="s">
        <v>15</v>
      </c>
      <c r="D25" s="7" t="s">
        <v>80</v>
      </c>
      <c r="E25" s="8" t="s">
        <v>0</v>
      </c>
      <c r="F25" s="7" t="s">
        <v>81</v>
      </c>
      <c r="G25" s="8" t="s">
        <v>95</v>
      </c>
      <c r="H25" s="1" t="s">
        <v>178</v>
      </c>
    </row>
    <row r="26" spans="1:8">
      <c r="A26" s="9" t="s">
        <v>53</v>
      </c>
      <c r="B26" s="6" t="s">
        <v>30</v>
      </c>
      <c r="C26" s="7" t="str">
        <f>C16</f>
        <v>PMA/STC Mfg.</v>
      </c>
      <c r="D26" s="7" t="s">
        <v>86</v>
      </c>
      <c r="E26" s="8" t="s">
        <v>0</v>
      </c>
      <c r="F26" s="7" t="s">
        <v>57</v>
      </c>
      <c r="G26" s="8" t="s">
        <v>97</v>
      </c>
      <c r="H26" s="1" t="s">
        <v>179</v>
      </c>
    </row>
    <row r="27" spans="1:8">
      <c r="A27" s="10"/>
      <c r="B27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3F4F-20D7-4669-A0E6-B1E920AA7EFC}">
  <sheetPr>
    <tabColor rgb="FF1F4E79"/>
  </sheetPr>
  <dimension ref="A1:H34"/>
  <sheetViews>
    <sheetView showGridLines="0" workbookViewId="0">
      <selection activeCell="G36" sqref="G36"/>
    </sheetView>
  </sheetViews>
  <sheetFormatPr baseColWidth="10" defaultColWidth="8.83203125" defaultRowHeight="15"/>
  <cols>
    <col min="1" max="1" width="25.33203125" customWidth="1"/>
    <col min="2" max="2" width="17.6640625" customWidth="1"/>
    <col min="3" max="3" width="10.33203125" customWidth="1"/>
    <col min="4" max="4" width="16.1640625" customWidth="1"/>
    <col min="5" max="5" width="20.1640625" customWidth="1"/>
    <col min="6" max="6" width="7.1640625" customWidth="1"/>
    <col min="7" max="7" width="19.33203125" bestFit="1" customWidth="1"/>
    <col min="8" max="8" width="9.6640625" bestFit="1" customWidth="1"/>
  </cols>
  <sheetData>
    <row r="1" spans="1:8" ht="26">
      <c r="A1" s="27" t="s">
        <v>104</v>
      </c>
      <c r="B1" s="18"/>
      <c r="C1" s="18"/>
      <c r="D1" s="18"/>
      <c r="E1" s="18"/>
      <c r="F1" s="18"/>
      <c r="G1" s="18"/>
      <c r="H1" s="18"/>
    </row>
    <row r="2" spans="1:8">
      <c r="A2" s="18"/>
      <c r="B2" s="18"/>
      <c r="C2" s="18"/>
      <c r="D2" s="18"/>
      <c r="E2" s="18"/>
      <c r="F2" s="18"/>
      <c r="G2" s="18"/>
      <c r="H2" s="18"/>
    </row>
    <row r="3" spans="1:8" ht="28">
      <c r="A3" s="30" t="s">
        <v>105</v>
      </c>
      <c r="B3" s="18"/>
      <c r="D3" s="29" t="s">
        <v>106</v>
      </c>
      <c r="G3" s="30" t="s">
        <v>107</v>
      </c>
      <c r="H3" s="18"/>
    </row>
    <row r="4" spans="1:8" ht="45">
      <c r="A4" s="19">
        <v>25</v>
      </c>
      <c r="B4" s="18"/>
      <c r="D4" s="20">
        <v>9</v>
      </c>
      <c r="G4" s="20">
        <v>16</v>
      </c>
      <c r="H4" s="18"/>
    </row>
    <row r="5" spans="1:8">
      <c r="A5" s="32" t="s">
        <v>108</v>
      </c>
      <c r="B5" s="18"/>
      <c r="D5" s="31" t="s">
        <v>109</v>
      </c>
      <c r="G5" s="31" t="s">
        <v>110</v>
      </c>
      <c r="H5" s="18"/>
    </row>
    <row r="6" spans="1:8">
      <c r="A6" s="18"/>
      <c r="B6" s="18"/>
      <c r="C6" s="18"/>
      <c r="D6" s="18"/>
      <c r="E6" s="18"/>
      <c r="F6" s="18"/>
      <c r="G6" s="18"/>
      <c r="H6" s="18"/>
    </row>
    <row r="7" spans="1:8">
      <c r="A7" s="18"/>
      <c r="B7" s="18"/>
      <c r="C7" s="18"/>
      <c r="D7" s="18"/>
      <c r="E7" s="18"/>
      <c r="F7" s="18"/>
      <c r="G7" s="18"/>
      <c r="H7" s="18"/>
    </row>
    <row r="8" spans="1:8">
      <c r="A8" s="33" t="s">
        <v>111</v>
      </c>
      <c r="B8" s="34"/>
      <c r="C8" s="18"/>
      <c r="D8" s="33" t="s">
        <v>114</v>
      </c>
      <c r="E8" s="34"/>
      <c r="F8" s="18"/>
      <c r="G8" s="33" t="s">
        <v>121</v>
      </c>
      <c r="H8" s="34"/>
    </row>
    <row r="9" spans="1:8">
      <c r="A9" s="35" t="s">
        <v>1</v>
      </c>
      <c r="B9" s="28" t="s">
        <v>112</v>
      </c>
      <c r="C9" s="18"/>
      <c r="D9" s="35" t="s">
        <v>115</v>
      </c>
      <c r="E9" s="28" t="s">
        <v>112</v>
      </c>
      <c r="F9" s="18"/>
      <c r="G9" s="35" t="s">
        <v>122</v>
      </c>
      <c r="H9" s="28" t="s">
        <v>112</v>
      </c>
    </row>
    <row r="10" spans="1:8">
      <c r="A10" s="21" t="s">
        <v>15</v>
      </c>
      <c r="B10" s="22">
        <v>17</v>
      </c>
      <c r="C10" s="18"/>
      <c r="D10" s="21" t="s">
        <v>116</v>
      </c>
      <c r="E10" s="22">
        <v>11</v>
      </c>
      <c r="F10" s="18"/>
      <c r="G10" s="21" t="s">
        <v>123</v>
      </c>
      <c r="H10" s="22">
        <v>7</v>
      </c>
    </row>
    <row r="11" spans="1:8">
      <c r="A11" s="23" t="s">
        <v>45</v>
      </c>
      <c r="B11" s="24">
        <v>3</v>
      </c>
      <c r="C11" s="18"/>
      <c r="D11" s="23" t="s">
        <v>117</v>
      </c>
      <c r="E11" s="24">
        <v>6</v>
      </c>
      <c r="F11" s="18"/>
      <c r="G11" s="23" t="s">
        <v>124</v>
      </c>
      <c r="H11" s="24">
        <v>12</v>
      </c>
    </row>
    <row r="12" spans="1:8">
      <c r="A12" s="21" t="s">
        <v>13</v>
      </c>
      <c r="B12" s="22">
        <v>2</v>
      </c>
      <c r="C12" s="18"/>
      <c r="D12" s="21" t="s">
        <v>118</v>
      </c>
      <c r="E12" s="22">
        <v>6</v>
      </c>
      <c r="F12" s="18"/>
      <c r="G12" s="21" t="s">
        <v>125</v>
      </c>
      <c r="H12" s="22">
        <v>2</v>
      </c>
    </row>
    <row r="13" spans="1:8">
      <c r="A13" s="23" t="s">
        <v>73</v>
      </c>
      <c r="B13" s="24">
        <v>2</v>
      </c>
      <c r="C13" s="18"/>
      <c r="D13" s="23" t="s">
        <v>119</v>
      </c>
      <c r="E13" s="24">
        <v>1</v>
      </c>
      <c r="F13" s="18"/>
      <c r="G13" s="23" t="s">
        <v>126</v>
      </c>
      <c r="H13" s="24">
        <v>2</v>
      </c>
    </row>
    <row r="14" spans="1:8">
      <c r="A14" s="21" t="s">
        <v>113</v>
      </c>
      <c r="B14" s="22">
        <v>1</v>
      </c>
      <c r="C14" s="18"/>
      <c r="D14" s="21" t="s">
        <v>120</v>
      </c>
      <c r="E14" s="22">
        <v>1</v>
      </c>
      <c r="F14" s="18"/>
      <c r="G14" s="21" t="s">
        <v>47</v>
      </c>
      <c r="H14" s="22">
        <v>2</v>
      </c>
    </row>
    <row r="15" spans="1:8">
      <c r="A15" s="18"/>
      <c r="B15" s="18"/>
      <c r="C15" s="18"/>
      <c r="D15" s="18"/>
      <c r="E15" s="18"/>
      <c r="F15" s="18"/>
    </row>
    <row r="16" spans="1:8">
      <c r="A16" s="18"/>
      <c r="B16" s="18"/>
      <c r="C16" s="18"/>
      <c r="D16" s="18"/>
      <c r="E16" s="18"/>
      <c r="F16" s="18"/>
    </row>
    <row r="17" spans="1:4">
      <c r="A17" s="33" t="s">
        <v>128</v>
      </c>
      <c r="B17" s="34"/>
      <c r="C17" s="34"/>
      <c r="D17" s="34"/>
    </row>
    <row r="18" spans="1:4">
      <c r="A18" s="35" t="s">
        <v>129</v>
      </c>
      <c r="B18" s="28" t="s">
        <v>130</v>
      </c>
      <c r="C18" s="28" t="s">
        <v>127</v>
      </c>
      <c r="D18" s="28" t="s">
        <v>1</v>
      </c>
    </row>
    <row r="19" spans="1:4">
      <c r="A19" s="21" t="s">
        <v>131</v>
      </c>
      <c r="B19" s="22">
        <v>80</v>
      </c>
      <c r="C19" s="22" t="s">
        <v>134</v>
      </c>
      <c r="D19" s="22" t="s">
        <v>135</v>
      </c>
    </row>
    <row r="20" spans="1:4">
      <c r="A20" s="23" t="s">
        <v>133</v>
      </c>
      <c r="B20" s="24">
        <v>25</v>
      </c>
      <c r="C20" s="24" t="s">
        <v>132</v>
      </c>
      <c r="D20" s="24" t="s">
        <v>135</v>
      </c>
    </row>
    <row r="21" spans="1:4">
      <c r="A21" s="21" t="s">
        <v>136</v>
      </c>
      <c r="B21" s="22">
        <v>19.5</v>
      </c>
      <c r="C21" s="22" t="s">
        <v>132</v>
      </c>
      <c r="D21" s="22" t="s">
        <v>138</v>
      </c>
    </row>
    <row r="22" spans="1:4">
      <c r="A22" s="23" t="s">
        <v>137</v>
      </c>
      <c r="B22" s="24">
        <v>17.5</v>
      </c>
      <c r="C22" s="24" t="s">
        <v>132</v>
      </c>
      <c r="D22" s="24" t="s">
        <v>13</v>
      </c>
    </row>
    <row r="23" spans="1:4">
      <c r="A23" s="21" t="s">
        <v>139</v>
      </c>
      <c r="B23" s="22">
        <v>8.5</v>
      </c>
      <c r="C23" s="22" t="s">
        <v>132</v>
      </c>
      <c r="D23" s="22" t="s">
        <v>135</v>
      </c>
    </row>
    <row r="24" spans="1:4">
      <c r="A24" s="23" t="s">
        <v>140</v>
      </c>
      <c r="B24" s="24">
        <v>7.5</v>
      </c>
      <c r="C24" s="24" t="s">
        <v>134</v>
      </c>
      <c r="D24" s="24" t="s">
        <v>138</v>
      </c>
    </row>
    <row r="25" spans="1:4">
      <c r="A25" s="21" t="s">
        <v>141</v>
      </c>
      <c r="B25" s="22">
        <v>6</v>
      </c>
      <c r="C25" s="22" t="s">
        <v>132</v>
      </c>
      <c r="D25" s="22" t="s">
        <v>13</v>
      </c>
    </row>
    <row r="26" spans="1:4">
      <c r="A26" s="23" t="s">
        <v>142</v>
      </c>
      <c r="B26" s="24">
        <v>6</v>
      </c>
      <c r="C26" s="24" t="s">
        <v>132</v>
      </c>
      <c r="D26" s="24" t="s">
        <v>138</v>
      </c>
    </row>
    <row r="27" spans="1:4">
      <c r="A27" s="21" t="s">
        <v>143</v>
      </c>
      <c r="B27" s="22">
        <v>6</v>
      </c>
      <c r="C27" s="22" t="s">
        <v>132</v>
      </c>
      <c r="D27" s="22" t="s">
        <v>138</v>
      </c>
    </row>
    <row r="28" spans="1:4">
      <c r="A28" s="25" t="s">
        <v>144</v>
      </c>
      <c r="B28" s="26" t="s">
        <v>145</v>
      </c>
      <c r="C28" s="26" t="s">
        <v>146</v>
      </c>
      <c r="D28" s="26" t="s">
        <v>147</v>
      </c>
    </row>
    <row r="31" spans="1:4">
      <c r="A31" s="15" t="s">
        <v>148</v>
      </c>
    </row>
    <row r="32" spans="1:4">
      <c r="A32" s="17" t="s">
        <v>149</v>
      </c>
      <c r="B32" s="16" t="s">
        <v>151</v>
      </c>
    </row>
    <row r="33" spans="1:2">
      <c r="A33" s="17" t="s">
        <v>149</v>
      </c>
      <c r="B33" s="16" t="s">
        <v>150</v>
      </c>
    </row>
    <row r="34" spans="1:2">
      <c r="A34" s="17" t="s">
        <v>149</v>
      </c>
      <c r="B34" s="16" t="s">
        <v>152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047AC0F979344394F20E4D156F6E9F" ma:contentTypeVersion="12" ma:contentTypeDescription="Create a new document." ma:contentTypeScope="" ma:versionID="04030bb393e2911a8f2dc2d598beeaf0">
  <xsd:schema xmlns:xsd="http://www.w3.org/2001/XMLSchema" xmlns:xs="http://www.w3.org/2001/XMLSchema" xmlns:p="http://schemas.microsoft.com/office/2006/metadata/properties" xmlns:ns2="c2f3c7b4-de59-41b4-85eb-6167843228f9" xmlns:ns3="5b76a987-4d4a-4235-8864-36c041c4a17b" targetNamespace="http://schemas.microsoft.com/office/2006/metadata/properties" ma:root="true" ma:fieldsID="eab3208175d59736c9acd01978690157" ns2:_="" ns3:_="">
    <xsd:import namespace="c2f3c7b4-de59-41b4-85eb-6167843228f9"/>
    <xsd:import namespace="5b76a987-4d4a-4235-8864-36c041c4a1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f3c7b4-de59-41b4-85eb-6167843228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f80bba9-fe59-4978-bbb1-708a12f922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6a987-4d4a-4235-8864-36c041c4a17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f3c7b4-de59-41b4-85eb-6167843228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888944-7908-4B30-8FB8-B1AE81755C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f3c7b4-de59-41b4-85eb-6167843228f9"/>
    <ds:schemaRef ds:uri="5b76a987-4d4a-4235-8864-36c041c4a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765360-EAE3-4ED9-9A1D-5B1A79A4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7D04B-8057-4020-B75C-994FAACC8B23}">
  <ds:schemaRefs>
    <ds:schemaRef ds:uri="http://www.w3.org/XML/1998/namespace"/>
    <ds:schemaRef ds:uri="http://purl.org/dc/elements/1.1/"/>
    <ds:schemaRef ds:uri="http://schemas.microsoft.com/office/infopath/2007/PartnerControls"/>
    <ds:schemaRef ds:uri="c2f3c7b4-de59-41b4-85eb-6167843228f9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Claude Log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Wagner</dc:creator>
  <cp:lastModifiedBy>Steven Still</cp:lastModifiedBy>
  <dcterms:created xsi:type="dcterms:W3CDTF">2023-04-06T13:50:21Z</dcterms:created>
  <dcterms:modified xsi:type="dcterms:W3CDTF">2026-02-12T15:20:36Z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0x0101004A047AC0F979344394F20E4D156F6E9F</vt:lpwstr>
  </property>
  <property fmtid="{D5CDD505-2E9C-101B-9397-08002B2CF9AE}" pid="3" name="MediaServiceImageTags">
    <vt:lpwstr/>
  </property>
</Properties>
</file>